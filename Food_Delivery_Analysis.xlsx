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\Sem 6\Mini Projects\"/>
    </mc:Choice>
  </mc:AlternateContent>
  <xr:revisionPtr revIDLastSave="0" documentId="13_ncr:1_{D9687326-4628-4DED-8D3D-5145C14FFF7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Order Data" sheetId="1" r:id="rId1"/>
    <sheet name="Analysis &amp; Formulas" sheetId="2" r:id="rId2"/>
    <sheet name="Dashboard KPIs" sheetId="3" r:id="rId3"/>
  </sheets>
  <definedNames>
    <definedName name="_xlnm._FilterDatabase" localSheetId="0" hidden="1">'Order Data'!$A$2:$L$22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2" l="1"/>
  <c r="C5" i="2"/>
  <c r="D11" i="3"/>
  <c r="B11" i="3"/>
  <c r="F7" i="3"/>
  <c r="D7" i="3"/>
  <c r="B7" i="3"/>
  <c r="F3" i="3"/>
  <c r="D3" i="3"/>
  <c r="B3" i="3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C12" i="2"/>
  <c r="C11" i="2"/>
  <c r="C10" i="2"/>
  <c r="C9" i="2"/>
  <c r="C8" i="2"/>
  <c r="C6" i="2"/>
  <c r="C4" i="2"/>
  <c r="C3" i="2"/>
</calcChain>
</file>

<file path=xl/sharedStrings.xml><?xml version="1.0" encoding="utf-8"?>
<sst xmlns="http://schemas.openxmlformats.org/spreadsheetml/2006/main" count="230" uniqueCount="190">
  <si>
    <t>🍔  ONLINE FOOD DELIVERY — ORDER DATABASE</t>
  </si>
  <si>
    <t>Order ID</t>
  </si>
  <si>
    <t>Customer Name</t>
  </si>
  <si>
    <t>Restaurant Name</t>
  </si>
  <si>
    <t>Food Category</t>
  </si>
  <si>
    <t>Order Amount (₹)</t>
  </si>
  <si>
    <t>Delivery Time (min)</t>
  </si>
  <si>
    <t>Distance (km)</t>
  </si>
  <si>
    <t>Rating (1-5)</t>
  </si>
  <si>
    <t>Delivery Partner</t>
  </si>
  <si>
    <t>City</t>
  </si>
  <si>
    <t>Order Date</t>
  </si>
  <si>
    <t>Status</t>
  </si>
  <si>
    <t>ORD001</t>
  </si>
  <si>
    <t>Rahul Sharma</t>
  </si>
  <si>
    <t>Zomato Kitchen</t>
  </si>
  <si>
    <t>Biryani</t>
  </si>
  <si>
    <t>Amit K</t>
  </si>
  <si>
    <t>Delhi</t>
  </si>
  <si>
    <t>2024-01-05</t>
  </si>
  <si>
    <t>Delivered</t>
  </si>
  <si>
    <t>ORD002</t>
  </si>
  <si>
    <t>Priya Singh</t>
  </si>
  <si>
    <t>Burger King</t>
  </si>
  <si>
    <t>Fast Food</t>
  </si>
  <si>
    <t>Ravi S</t>
  </si>
  <si>
    <t>Mumbai</t>
  </si>
  <si>
    <t>2024-01-06</t>
  </si>
  <si>
    <t>ORD003</t>
  </si>
  <si>
    <t>Ankit Verma</t>
  </si>
  <si>
    <t>Pizza Hut</t>
  </si>
  <si>
    <t>Pizza</t>
  </si>
  <si>
    <t>Suresh P</t>
  </si>
  <si>
    <t>Bangalore</t>
  </si>
  <si>
    <t>2024-01-07</t>
  </si>
  <si>
    <t>ORD004</t>
  </si>
  <si>
    <t>Sneha Patel</t>
  </si>
  <si>
    <t>Domino's</t>
  </si>
  <si>
    <t>Mohan L</t>
  </si>
  <si>
    <t>Pune</t>
  </si>
  <si>
    <t>2024-01-08</t>
  </si>
  <si>
    <t>ORD005</t>
  </si>
  <si>
    <t>Vikas Gupta</t>
  </si>
  <si>
    <t>KFC</t>
  </si>
  <si>
    <t>Deepak R</t>
  </si>
  <si>
    <t>2024-01-09</t>
  </si>
  <si>
    <t>ORD006</t>
  </si>
  <si>
    <t>Neha Joshi</t>
  </si>
  <si>
    <t>Haldiram's</t>
  </si>
  <si>
    <t>Snacks</t>
  </si>
  <si>
    <t>Arun T</t>
  </si>
  <si>
    <t>Jaipur</t>
  </si>
  <si>
    <t>2024-01-10</t>
  </si>
  <si>
    <t>ORD007</t>
  </si>
  <si>
    <t>Rohit Mehta</t>
  </si>
  <si>
    <t>Barbeque Nation</t>
  </si>
  <si>
    <t>BBQ</t>
  </si>
  <si>
    <t>Vijay M</t>
  </si>
  <si>
    <t>2024-01-11</t>
  </si>
  <si>
    <t>Cancelled</t>
  </si>
  <si>
    <t>ORD008</t>
  </si>
  <si>
    <t>Anjali Rao</t>
  </si>
  <si>
    <t>Swiggy Cloud</t>
  </si>
  <si>
    <t>South Indian</t>
  </si>
  <si>
    <t>Kiran B</t>
  </si>
  <si>
    <t>Chennai</t>
  </si>
  <si>
    <t>2024-01-12</t>
  </si>
  <si>
    <t>ORD009</t>
  </si>
  <si>
    <t>Sumit Kumar</t>
  </si>
  <si>
    <t>McDonald's</t>
  </si>
  <si>
    <t>Sachin G</t>
  </si>
  <si>
    <t>Hyderabad</t>
  </si>
  <si>
    <t>2024-01-13</t>
  </si>
  <si>
    <t>ORD010</t>
  </si>
  <si>
    <t>Kavita Reddy</t>
  </si>
  <si>
    <t>Saravana Bhavan</t>
  </si>
  <si>
    <t>Naresh J</t>
  </si>
  <si>
    <t>2024-01-14</t>
  </si>
  <si>
    <t>ORD011</t>
  </si>
  <si>
    <t>Arjun Nair</t>
  </si>
  <si>
    <t>Fassos</t>
  </si>
  <si>
    <t>Wraps</t>
  </si>
  <si>
    <t>Prakash V</t>
  </si>
  <si>
    <t>Kochi</t>
  </si>
  <si>
    <t>2024-01-15</t>
  </si>
  <si>
    <t>ORD012</t>
  </si>
  <si>
    <t>Divya Sharma</t>
  </si>
  <si>
    <t>Box8</t>
  </si>
  <si>
    <t>Thali</t>
  </si>
  <si>
    <t>Gopal S</t>
  </si>
  <si>
    <t>2024-01-16</t>
  </si>
  <si>
    <t>ORD013</t>
  </si>
  <si>
    <t>Manish Tiwari</t>
  </si>
  <si>
    <t>Mainland China</t>
  </si>
  <si>
    <t>Chinese</t>
  </si>
  <si>
    <t>Harish D</t>
  </si>
  <si>
    <t>Kolkata</t>
  </si>
  <si>
    <t>2024-01-17</t>
  </si>
  <si>
    <t>Delayed</t>
  </si>
  <si>
    <t>ORD014</t>
  </si>
  <si>
    <t>Pooja Agarwal</t>
  </si>
  <si>
    <t>Social</t>
  </si>
  <si>
    <t>Continental</t>
  </si>
  <si>
    <t>Rakesh P</t>
  </si>
  <si>
    <t>2024-01-18</t>
  </si>
  <si>
    <t>ORD015</t>
  </si>
  <si>
    <t>Kiran Malhotra</t>
  </si>
  <si>
    <t>Ammi's Biryani</t>
  </si>
  <si>
    <t>Anil K</t>
  </si>
  <si>
    <t>Lucknow</t>
  </si>
  <si>
    <t>2024-01-19</t>
  </si>
  <si>
    <t>ORD016</t>
  </si>
  <si>
    <t>Sanjay Dubey</t>
  </si>
  <si>
    <t>Chaayos</t>
  </si>
  <si>
    <t>Sunil T</t>
  </si>
  <si>
    <t>Noida</t>
  </si>
  <si>
    <t>2024-01-20</t>
  </si>
  <si>
    <t>ORD017</t>
  </si>
  <si>
    <t>Ritu Kapoor</t>
  </si>
  <si>
    <t>Pind Balluchi</t>
  </si>
  <si>
    <t>Punjabi</t>
  </si>
  <si>
    <t>Manoj R</t>
  </si>
  <si>
    <t>2024-01-21</t>
  </si>
  <si>
    <t>ORD018</t>
  </si>
  <si>
    <t>Deepak Saxena</t>
  </si>
  <si>
    <t>Subway</t>
  </si>
  <si>
    <t>Sandwiches</t>
  </si>
  <si>
    <t>Bharat L</t>
  </si>
  <si>
    <t>Agra</t>
  </si>
  <si>
    <t>2024-01-22</t>
  </si>
  <si>
    <t>ORD019</t>
  </si>
  <si>
    <t>Ankita Mishra</t>
  </si>
  <si>
    <t>Wow! Momo</t>
  </si>
  <si>
    <t>Momos</t>
  </si>
  <si>
    <t>Saurabh D</t>
  </si>
  <si>
    <t>Gurgaon</t>
  </si>
  <si>
    <t>2024-01-23</t>
  </si>
  <si>
    <t>ORD020</t>
  </si>
  <si>
    <t>Vikram Singhania</t>
  </si>
  <si>
    <t>Behrouz Biryani</t>
  </si>
  <si>
    <t>Aman V</t>
  </si>
  <si>
    <t>2024-01-24</t>
  </si>
  <si>
    <t>📊  DATA ANALYSIS — 10 EXCEL FUNCTIONS APPLIED</t>
  </si>
  <si>
    <t>Sr.</t>
  </si>
  <si>
    <t>Formula Used</t>
  </si>
  <si>
    <t>Result</t>
  </si>
  <si>
    <t>Purpose / Explanation</t>
  </si>
  <si>
    <t>1</t>
  </si>
  <si>
    <t>SUM</t>
  </si>
  <si>
    <t>Total Revenue from all orders</t>
  </si>
  <si>
    <t>2</t>
  </si>
  <si>
    <t>AVERAGE</t>
  </si>
  <si>
    <t>Average Delivery Time (minutes)</t>
  </si>
  <si>
    <t>3</t>
  </si>
  <si>
    <t>MAX</t>
  </si>
  <si>
    <t>Highest Order Amount</t>
  </si>
  <si>
    <t>4</t>
  </si>
  <si>
    <t>MIN</t>
  </si>
  <si>
    <t>Minimum Delivery Time</t>
  </si>
  <si>
    <t>5</t>
  </si>
  <si>
    <t>COUNT</t>
  </si>
  <si>
    <t>Total Number of Orders</t>
  </si>
  <si>
    <t>6</t>
  </si>
  <si>
    <t>COUNTIF</t>
  </si>
  <si>
    <t>Delivered Orders Count</t>
  </si>
  <si>
    <t>7</t>
  </si>
  <si>
    <t>AVERAGEIF</t>
  </si>
  <si>
    <t>Avg Rating for Biryani Orders</t>
  </si>
  <si>
    <t>8</t>
  </si>
  <si>
    <t>IF</t>
  </si>
  <si>
    <t>Delivery Speed Tag (≤30 min = Fast)</t>
  </si>
  <si>
    <t>9</t>
  </si>
  <si>
    <t>RANK</t>
  </si>
  <si>
    <t>Rank of 1st Order by Amount (among all)</t>
  </si>
  <si>
    <t>10</t>
  </si>
  <si>
    <t>SUMIF</t>
  </si>
  <si>
    <t>Revenue from Fast Food category</t>
  </si>
  <si>
    <t>🏙  CITY-WISE SUMMARY (COUNTIF / SUMIF / AVERAGEIF)</t>
  </si>
  <si>
    <t>No. of Orders</t>
  </si>
  <si>
    <t>Total Revenue (₹)</t>
  </si>
  <si>
    <t>Avg Rating</t>
  </si>
  <si>
    <t>📈  ONLINE FOOD DELIVERY — KPI DASHBOARD</t>
  </si>
  <si>
    <t>Total Orders</t>
  </si>
  <si>
    <t>Total Revenue</t>
  </si>
  <si>
    <t>Avg Delivery Time</t>
  </si>
  <si>
    <t>Avg Customer Rating</t>
  </si>
  <si>
    <t>Fastest Delivery</t>
  </si>
  <si>
    <t>Highest Order</t>
  </si>
  <si>
    <t>Delivered Orders</t>
  </si>
  <si>
    <t>Cancelled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</si>
</sst>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dd\-mmm\-yyyy"/>
    <numFmt numFmtId="166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0000CD"/>
      <name val="Arial"/>
      <charset val="1"/>
    </font>
    <font>
      <sz val="10"/>
      <color rgb="FF0000CD"/>
      <name val="Arial"/>
      <charset val="1"/>
    </font>
    <font>
      <b/>
      <sz val="10"/>
      <color rgb="FF1F4E79"/>
      <name val="Arial"/>
      <charset val="1"/>
    </font>
    <font>
      <b/>
      <sz val="13"/>
      <color rgb="FF1F4E7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  <bgColor rgb="FFE2EFDA"/>
      </patternFill>
    </fill>
    <fill>
      <patternFill patternType="solid">
        <fgColor rgb="FFFFE0E0"/>
        <bgColor rgb="FFFFF2CC"/>
      </patternFill>
    </fill>
    <fill>
      <patternFill patternType="solid">
        <fgColor rgb="FFFFF2CC"/>
        <bgColor rgb="FFFFE0E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7" fillId="7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164" fontId="8" fillId="8" borderId="2" xfId="0" applyNumberFormat="1" applyFont="1" applyFill="1" applyBorder="1" applyAlignment="1">
      <alignment horizontal="center" vertical="center"/>
    </xf>
    <xf numFmtId="166" fontId="8" fillId="5" borderId="2" xfId="0" applyNumberFormat="1" applyFont="1" applyFill="1" applyBorder="1" applyAlignment="1">
      <alignment horizontal="center" vertical="center"/>
    </xf>
    <xf numFmtId="2" fontId="8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166" fontId="8" fillId="8" borderId="2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D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zoomScaleNormal="100" workbookViewId="0">
      <pane ySplit="2" topLeftCell="A3" activePane="bottomLeft" state="frozen"/>
      <selection pane="bottomLeft" activeCell="E3" sqref="E3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8" customWidth="1"/>
    <col min="4" max="4" width="14" customWidth="1"/>
    <col min="5" max="6" width="16" customWidth="1"/>
    <col min="7" max="7" width="13" customWidth="1"/>
    <col min="8" max="8" width="12" customWidth="1"/>
    <col min="9" max="9" width="14" customWidth="1"/>
    <col min="10" max="10" width="12" customWidth="1"/>
    <col min="11" max="11" width="13" customWidth="1"/>
    <col min="12" max="12" width="11" customWidth="1"/>
  </cols>
  <sheetData>
    <row r="1" spans="1:12" ht="31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0" customHeight="1" x14ac:dyDescent="0.3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</row>
    <row r="3" spans="1:12" x14ac:dyDescent="0.3">
      <c r="A3" s="16" t="s">
        <v>13</v>
      </c>
      <c r="B3" s="17" t="s">
        <v>14</v>
      </c>
      <c r="C3" s="17" t="s">
        <v>15</v>
      </c>
      <c r="D3" s="17" t="s">
        <v>16</v>
      </c>
      <c r="E3" s="18">
        <v>450</v>
      </c>
      <c r="F3" s="16">
        <v>35</v>
      </c>
      <c r="G3" s="16">
        <v>3.2</v>
      </c>
      <c r="H3" s="16">
        <v>4.5</v>
      </c>
      <c r="I3" s="17" t="s">
        <v>17</v>
      </c>
      <c r="J3" s="17" t="s">
        <v>18</v>
      </c>
      <c r="K3" s="19" t="s">
        <v>19</v>
      </c>
      <c r="L3" s="20" t="s">
        <v>20</v>
      </c>
    </row>
    <row r="4" spans="1:12" x14ac:dyDescent="0.3">
      <c r="A4" s="21" t="s">
        <v>21</v>
      </c>
      <c r="B4" s="22" t="s">
        <v>22</v>
      </c>
      <c r="C4" s="22" t="s">
        <v>23</v>
      </c>
      <c r="D4" s="22" t="s">
        <v>24</v>
      </c>
      <c r="E4" s="23">
        <v>320</v>
      </c>
      <c r="F4" s="21">
        <v>28</v>
      </c>
      <c r="G4" s="21">
        <v>2.1</v>
      </c>
      <c r="H4" s="21">
        <v>4</v>
      </c>
      <c r="I4" s="22" t="s">
        <v>25</v>
      </c>
      <c r="J4" s="22" t="s">
        <v>26</v>
      </c>
      <c r="K4" s="24" t="s">
        <v>27</v>
      </c>
      <c r="L4" s="20" t="s">
        <v>20</v>
      </c>
    </row>
    <row r="5" spans="1:12" x14ac:dyDescent="0.3">
      <c r="A5" s="16" t="s">
        <v>28</v>
      </c>
      <c r="B5" s="17" t="s">
        <v>29</v>
      </c>
      <c r="C5" s="17" t="s">
        <v>30</v>
      </c>
      <c r="D5" s="17" t="s">
        <v>31</v>
      </c>
      <c r="E5" s="18">
        <v>680</v>
      </c>
      <c r="F5" s="16">
        <v>42</v>
      </c>
      <c r="G5" s="16">
        <v>5</v>
      </c>
      <c r="H5" s="16">
        <v>3.8</v>
      </c>
      <c r="I5" s="17" t="s">
        <v>32</v>
      </c>
      <c r="J5" s="17" t="s">
        <v>33</v>
      </c>
      <c r="K5" s="19" t="s">
        <v>34</v>
      </c>
      <c r="L5" s="20" t="s">
        <v>20</v>
      </c>
    </row>
    <row r="6" spans="1:12" x14ac:dyDescent="0.3">
      <c r="A6" s="21" t="s">
        <v>35</v>
      </c>
      <c r="B6" s="22" t="s">
        <v>36</v>
      </c>
      <c r="C6" s="22" t="s">
        <v>37</v>
      </c>
      <c r="D6" s="22" t="s">
        <v>31</v>
      </c>
      <c r="E6" s="23">
        <v>540</v>
      </c>
      <c r="F6" s="21">
        <v>30</v>
      </c>
      <c r="G6" s="21">
        <v>2.8</v>
      </c>
      <c r="H6" s="21">
        <v>4.2</v>
      </c>
      <c r="I6" s="22" t="s">
        <v>38</v>
      </c>
      <c r="J6" s="22" t="s">
        <v>39</v>
      </c>
      <c r="K6" s="24" t="s">
        <v>40</v>
      </c>
      <c r="L6" s="20" t="s">
        <v>20</v>
      </c>
    </row>
    <row r="7" spans="1:12" x14ac:dyDescent="0.3">
      <c r="A7" s="16" t="s">
        <v>41</v>
      </c>
      <c r="B7" s="17" t="s">
        <v>42</v>
      </c>
      <c r="C7" s="17" t="s">
        <v>43</v>
      </c>
      <c r="D7" s="17" t="s">
        <v>24</v>
      </c>
      <c r="E7" s="18">
        <v>380</v>
      </c>
      <c r="F7" s="16">
        <v>25</v>
      </c>
      <c r="G7" s="16">
        <v>1.9</v>
      </c>
      <c r="H7" s="16">
        <v>4.5999999999999996</v>
      </c>
      <c r="I7" s="17" t="s">
        <v>44</v>
      </c>
      <c r="J7" s="17" t="s">
        <v>18</v>
      </c>
      <c r="K7" s="19" t="s">
        <v>45</v>
      </c>
      <c r="L7" s="20" t="s">
        <v>20</v>
      </c>
    </row>
    <row r="8" spans="1:12" x14ac:dyDescent="0.3">
      <c r="A8" s="21" t="s">
        <v>46</v>
      </c>
      <c r="B8" s="22" t="s">
        <v>47</v>
      </c>
      <c r="C8" s="22" t="s">
        <v>48</v>
      </c>
      <c r="D8" s="22" t="s">
        <v>49</v>
      </c>
      <c r="E8" s="23">
        <v>210</v>
      </c>
      <c r="F8" s="21">
        <v>20</v>
      </c>
      <c r="G8" s="21">
        <v>1.2</v>
      </c>
      <c r="H8" s="21">
        <v>4.8</v>
      </c>
      <c r="I8" s="22" t="s">
        <v>50</v>
      </c>
      <c r="J8" s="22" t="s">
        <v>51</v>
      </c>
      <c r="K8" s="24" t="s">
        <v>52</v>
      </c>
      <c r="L8" s="20" t="s">
        <v>20</v>
      </c>
    </row>
    <row r="9" spans="1:12" x14ac:dyDescent="0.3">
      <c r="A9" s="16" t="s">
        <v>53</v>
      </c>
      <c r="B9" s="17" t="s">
        <v>54</v>
      </c>
      <c r="C9" s="17" t="s">
        <v>55</v>
      </c>
      <c r="D9" s="17" t="s">
        <v>56</v>
      </c>
      <c r="E9" s="18">
        <v>950</v>
      </c>
      <c r="F9" s="16">
        <v>55</v>
      </c>
      <c r="G9" s="16">
        <v>6.5</v>
      </c>
      <c r="H9" s="16">
        <v>3.5</v>
      </c>
      <c r="I9" s="17" t="s">
        <v>57</v>
      </c>
      <c r="J9" s="17" t="s">
        <v>26</v>
      </c>
      <c r="K9" s="19" t="s">
        <v>58</v>
      </c>
      <c r="L9" s="25" t="s">
        <v>59</v>
      </c>
    </row>
    <row r="10" spans="1:12" x14ac:dyDescent="0.3">
      <c r="A10" s="21" t="s">
        <v>60</v>
      </c>
      <c r="B10" s="22" t="s">
        <v>61</v>
      </c>
      <c r="C10" s="22" t="s">
        <v>62</v>
      </c>
      <c r="D10" s="22" t="s">
        <v>63</v>
      </c>
      <c r="E10" s="23">
        <v>360</v>
      </c>
      <c r="F10" s="21">
        <v>33</v>
      </c>
      <c r="G10" s="21">
        <v>3.8</v>
      </c>
      <c r="H10" s="21">
        <v>4.3</v>
      </c>
      <c r="I10" s="22" t="s">
        <v>64</v>
      </c>
      <c r="J10" s="22" t="s">
        <v>65</v>
      </c>
      <c r="K10" s="24" t="s">
        <v>66</v>
      </c>
      <c r="L10" s="20" t="s">
        <v>20</v>
      </c>
    </row>
    <row r="11" spans="1:12" x14ac:dyDescent="0.3">
      <c r="A11" s="16" t="s">
        <v>67</v>
      </c>
      <c r="B11" s="17" t="s">
        <v>68</v>
      </c>
      <c r="C11" s="17" t="s">
        <v>69</v>
      </c>
      <c r="D11" s="17" t="s">
        <v>24</v>
      </c>
      <c r="E11" s="18">
        <v>290</v>
      </c>
      <c r="F11" s="16">
        <v>22</v>
      </c>
      <c r="G11" s="16">
        <v>1.5</v>
      </c>
      <c r="H11" s="16">
        <v>4.7</v>
      </c>
      <c r="I11" s="17" t="s">
        <v>70</v>
      </c>
      <c r="J11" s="17" t="s">
        <v>71</v>
      </c>
      <c r="K11" s="19" t="s">
        <v>72</v>
      </c>
      <c r="L11" s="20" t="s">
        <v>20</v>
      </c>
    </row>
    <row r="12" spans="1:12" x14ac:dyDescent="0.3">
      <c r="A12" s="21" t="s">
        <v>73</v>
      </c>
      <c r="B12" s="22" t="s">
        <v>74</v>
      </c>
      <c r="C12" s="22" t="s">
        <v>75</v>
      </c>
      <c r="D12" s="22" t="s">
        <v>63</v>
      </c>
      <c r="E12" s="23">
        <v>480</v>
      </c>
      <c r="F12" s="21">
        <v>40</v>
      </c>
      <c r="G12" s="21">
        <v>4.2</v>
      </c>
      <c r="H12" s="21">
        <v>4.0999999999999996</v>
      </c>
      <c r="I12" s="22" t="s">
        <v>76</v>
      </c>
      <c r="J12" s="22" t="s">
        <v>65</v>
      </c>
      <c r="K12" s="24" t="s">
        <v>77</v>
      </c>
      <c r="L12" s="20" t="s">
        <v>20</v>
      </c>
    </row>
    <row r="13" spans="1:12" x14ac:dyDescent="0.3">
      <c r="A13" s="16" t="s">
        <v>78</v>
      </c>
      <c r="B13" s="17" t="s">
        <v>79</v>
      </c>
      <c r="C13" s="17" t="s">
        <v>80</v>
      </c>
      <c r="D13" s="17" t="s">
        <v>81</v>
      </c>
      <c r="E13" s="18">
        <v>350</v>
      </c>
      <c r="F13" s="16">
        <v>27</v>
      </c>
      <c r="G13" s="16">
        <v>2.2999999999999998</v>
      </c>
      <c r="H13" s="16">
        <v>3.9</v>
      </c>
      <c r="I13" s="17" t="s">
        <v>82</v>
      </c>
      <c r="J13" s="17" t="s">
        <v>83</v>
      </c>
      <c r="K13" s="19" t="s">
        <v>84</v>
      </c>
      <c r="L13" s="20" t="s">
        <v>20</v>
      </c>
    </row>
    <row r="14" spans="1:12" x14ac:dyDescent="0.3">
      <c r="A14" s="21" t="s">
        <v>85</v>
      </c>
      <c r="B14" s="22" t="s">
        <v>86</v>
      </c>
      <c r="C14" s="22" t="s">
        <v>87</v>
      </c>
      <c r="D14" s="22" t="s">
        <v>88</v>
      </c>
      <c r="E14" s="23">
        <v>520</v>
      </c>
      <c r="F14" s="21">
        <v>38</v>
      </c>
      <c r="G14" s="21">
        <v>4</v>
      </c>
      <c r="H14" s="21">
        <v>4.4000000000000004</v>
      </c>
      <c r="I14" s="22" t="s">
        <v>89</v>
      </c>
      <c r="J14" s="22" t="s">
        <v>18</v>
      </c>
      <c r="K14" s="24" t="s">
        <v>90</v>
      </c>
      <c r="L14" s="20" t="s">
        <v>20</v>
      </c>
    </row>
    <row r="15" spans="1:12" x14ac:dyDescent="0.3">
      <c r="A15" s="16" t="s">
        <v>91</v>
      </c>
      <c r="B15" s="17" t="s">
        <v>92</v>
      </c>
      <c r="C15" s="17" t="s">
        <v>93</v>
      </c>
      <c r="D15" s="17" t="s">
        <v>94</v>
      </c>
      <c r="E15" s="18">
        <v>750</v>
      </c>
      <c r="F15" s="16">
        <v>50</v>
      </c>
      <c r="G15" s="16">
        <v>5.8</v>
      </c>
      <c r="H15" s="16">
        <v>3.7</v>
      </c>
      <c r="I15" s="17" t="s">
        <v>95</v>
      </c>
      <c r="J15" s="17" t="s">
        <v>96</v>
      </c>
      <c r="K15" s="19" t="s">
        <v>97</v>
      </c>
      <c r="L15" s="26" t="s">
        <v>98</v>
      </c>
    </row>
    <row r="16" spans="1:12" x14ac:dyDescent="0.3">
      <c r="A16" s="21" t="s">
        <v>99</v>
      </c>
      <c r="B16" s="22" t="s">
        <v>100</v>
      </c>
      <c r="C16" s="22" t="s">
        <v>101</v>
      </c>
      <c r="D16" s="22" t="s">
        <v>102</v>
      </c>
      <c r="E16" s="23">
        <v>620</v>
      </c>
      <c r="F16" s="21">
        <v>45</v>
      </c>
      <c r="G16" s="21">
        <v>5.0999999999999996</v>
      </c>
      <c r="H16" s="21">
        <v>4</v>
      </c>
      <c r="I16" s="22" t="s">
        <v>103</v>
      </c>
      <c r="J16" s="22" t="s">
        <v>26</v>
      </c>
      <c r="K16" s="24" t="s">
        <v>104</v>
      </c>
      <c r="L16" s="20" t="s">
        <v>20</v>
      </c>
    </row>
    <row r="17" spans="1:12" x14ac:dyDescent="0.3">
      <c r="A17" s="16" t="s">
        <v>105</v>
      </c>
      <c r="B17" s="17" t="s">
        <v>106</v>
      </c>
      <c r="C17" s="17" t="s">
        <v>107</v>
      </c>
      <c r="D17" s="17" t="s">
        <v>16</v>
      </c>
      <c r="E17" s="18">
        <v>410</v>
      </c>
      <c r="F17" s="16">
        <v>32</v>
      </c>
      <c r="G17" s="16">
        <v>3</v>
      </c>
      <c r="H17" s="16">
        <v>4.9000000000000004</v>
      </c>
      <c r="I17" s="17" t="s">
        <v>108</v>
      </c>
      <c r="J17" s="17" t="s">
        <v>109</v>
      </c>
      <c r="K17" s="19" t="s">
        <v>110</v>
      </c>
      <c r="L17" s="20" t="s">
        <v>20</v>
      </c>
    </row>
    <row r="18" spans="1:12" x14ac:dyDescent="0.3">
      <c r="A18" s="21" t="s">
        <v>111</v>
      </c>
      <c r="B18" s="22" t="s">
        <v>112</v>
      </c>
      <c r="C18" s="22" t="s">
        <v>113</v>
      </c>
      <c r="D18" s="22" t="s">
        <v>49</v>
      </c>
      <c r="E18" s="23">
        <v>180</v>
      </c>
      <c r="F18" s="21">
        <v>18</v>
      </c>
      <c r="G18" s="21">
        <v>0.9</v>
      </c>
      <c r="H18" s="21">
        <v>4.5</v>
      </c>
      <c r="I18" s="22" t="s">
        <v>114</v>
      </c>
      <c r="J18" s="22" t="s">
        <v>115</v>
      </c>
      <c r="K18" s="24" t="s">
        <v>116</v>
      </c>
      <c r="L18" s="20" t="s">
        <v>20</v>
      </c>
    </row>
    <row r="19" spans="1:12" x14ac:dyDescent="0.3">
      <c r="A19" s="16" t="s">
        <v>117</v>
      </c>
      <c r="B19" s="17" t="s">
        <v>118</v>
      </c>
      <c r="C19" s="17" t="s">
        <v>119</v>
      </c>
      <c r="D19" s="17" t="s">
        <v>120</v>
      </c>
      <c r="E19" s="18">
        <v>830</v>
      </c>
      <c r="F19" s="16">
        <v>60</v>
      </c>
      <c r="G19" s="16">
        <v>7.2</v>
      </c>
      <c r="H19" s="16">
        <v>3.2</v>
      </c>
      <c r="I19" s="17" t="s">
        <v>121</v>
      </c>
      <c r="J19" s="17" t="s">
        <v>18</v>
      </c>
      <c r="K19" s="19" t="s">
        <v>122</v>
      </c>
      <c r="L19" s="25" t="s">
        <v>59</v>
      </c>
    </row>
    <row r="20" spans="1:12" x14ac:dyDescent="0.3">
      <c r="A20" s="21" t="s">
        <v>123</v>
      </c>
      <c r="B20" s="22" t="s">
        <v>124</v>
      </c>
      <c r="C20" s="22" t="s">
        <v>125</v>
      </c>
      <c r="D20" s="22" t="s">
        <v>126</v>
      </c>
      <c r="E20" s="23">
        <v>310</v>
      </c>
      <c r="F20" s="21">
        <v>24</v>
      </c>
      <c r="G20" s="21">
        <v>2</v>
      </c>
      <c r="H20" s="21">
        <v>4.3</v>
      </c>
      <c r="I20" s="22" t="s">
        <v>127</v>
      </c>
      <c r="J20" s="22" t="s">
        <v>128</v>
      </c>
      <c r="K20" s="24" t="s">
        <v>129</v>
      </c>
      <c r="L20" s="20" t="s">
        <v>20</v>
      </c>
    </row>
    <row r="21" spans="1:12" x14ac:dyDescent="0.3">
      <c r="A21" s="16" t="s">
        <v>130</v>
      </c>
      <c r="B21" s="17" t="s">
        <v>131</v>
      </c>
      <c r="C21" s="17" t="s">
        <v>132</v>
      </c>
      <c r="D21" s="17" t="s">
        <v>133</v>
      </c>
      <c r="E21" s="18">
        <v>260</v>
      </c>
      <c r="F21" s="16">
        <v>19</v>
      </c>
      <c r="G21" s="16">
        <v>1.1000000000000001</v>
      </c>
      <c r="H21" s="16">
        <v>4.5999999999999996</v>
      </c>
      <c r="I21" s="17" t="s">
        <v>134</v>
      </c>
      <c r="J21" s="17" t="s">
        <v>135</v>
      </c>
      <c r="K21" s="19" t="s">
        <v>136</v>
      </c>
      <c r="L21" s="20" t="s">
        <v>20</v>
      </c>
    </row>
    <row r="22" spans="1:12" x14ac:dyDescent="0.3">
      <c r="A22" s="21" t="s">
        <v>137</v>
      </c>
      <c r="B22" s="22" t="s">
        <v>138</v>
      </c>
      <c r="C22" s="22" t="s">
        <v>139</v>
      </c>
      <c r="D22" s="22" t="s">
        <v>16</v>
      </c>
      <c r="E22" s="23">
        <v>720</v>
      </c>
      <c r="F22" s="21">
        <v>48</v>
      </c>
      <c r="G22" s="21">
        <v>6</v>
      </c>
      <c r="H22" s="21">
        <v>4.8</v>
      </c>
      <c r="I22" s="22" t="s">
        <v>140</v>
      </c>
      <c r="J22" s="22" t="s">
        <v>33</v>
      </c>
      <c r="K22" s="24" t="s">
        <v>141</v>
      </c>
      <c r="L22" s="20" t="s">
        <v>20</v>
      </c>
    </row>
  </sheetData>
  <autoFilter ref="A2:L22" xr:uid="{00000000-0009-0000-0000-000000000000}"/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zoomScaleNormal="100" workbookViewId="0">
      <selection activeCell="C12" sqref="C12"/>
    </sheetView>
  </sheetViews>
  <sheetFormatPr defaultColWidth="8.6640625" defaultRowHeight="14.4" x14ac:dyDescent="0.3"/>
  <cols>
    <col min="1" max="1" width="5" customWidth="1"/>
    <col min="2" max="2" width="16" customWidth="1"/>
    <col min="3" max="3" width="38" customWidth="1"/>
    <col min="4" max="4" width="40" customWidth="1"/>
  </cols>
  <sheetData>
    <row r="1" spans="1:8" ht="31.5" customHeight="1" x14ac:dyDescent="0.3">
      <c r="A1" s="14" t="s">
        <v>142</v>
      </c>
      <c r="B1" s="14"/>
      <c r="C1" s="14"/>
      <c r="D1" s="14"/>
      <c r="E1" s="14"/>
      <c r="F1" s="14"/>
      <c r="G1" s="14"/>
      <c r="H1" s="14"/>
    </row>
    <row r="2" spans="1:8" x14ac:dyDescent="0.3">
      <c r="A2" s="27" t="s">
        <v>143</v>
      </c>
      <c r="B2" s="27" t="s">
        <v>144</v>
      </c>
      <c r="C2" s="27" t="s">
        <v>145</v>
      </c>
      <c r="D2" s="27" t="s">
        <v>146</v>
      </c>
    </row>
    <row r="3" spans="1:8" x14ac:dyDescent="0.3">
      <c r="A3" s="28" t="s">
        <v>147</v>
      </c>
      <c r="B3" s="29" t="s">
        <v>148</v>
      </c>
      <c r="C3" s="30">
        <f>SUM('Order Data'!E3:E22)</f>
        <v>9610</v>
      </c>
      <c r="D3" s="17" t="s">
        <v>149</v>
      </c>
    </row>
    <row r="4" spans="1:8" x14ac:dyDescent="0.3">
      <c r="A4" s="28" t="s">
        <v>150</v>
      </c>
      <c r="B4" s="31" t="s">
        <v>151</v>
      </c>
      <c r="C4" s="32">
        <f>AVERAGE('Order Data'!F3:F22)</f>
        <v>34.549999999999997</v>
      </c>
      <c r="D4" s="22" t="s">
        <v>152</v>
      </c>
    </row>
    <row r="5" spans="1:8" x14ac:dyDescent="0.3">
      <c r="A5" s="28" t="s">
        <v>153</v>
      </c>
      <c r="B5" s="29" t="s">
        <v>154</v>
      </c>
      <c r="C5" s="30">
        <f>MAX('Order Data'!E3:E22)</f>
        <v>950</v>
      </c>
      <c r="D5" s="17" t="s">
        <v>155</v>
      </c>
    </row>
    <row r="6" spans="1:8" x14ac:dyDescent="0.3">
      <c r="A6" s="28" t="s">
        <v>156</v>
      </c>
      <c r="B6" s="31" t="s">
        <v>157</v>
      </c>
      <c r="C6" s="33">
        <f>MIN('Order Data'!F3:F22)</f>
        <v>18</v>
      </c>
      <c r="D6" s="22" t="s">
        <v>158</v>
      </c>
    </row>
    <row r="7" spans="1:8" x14ac:dyDescent="0.3">
      <c r="A7" s="28" t="s">
        <v>159</v>
      </c>
      <c r="B7" s="29" t="s">
        <v>160</v>
      </c>
      <c r="C7" s="34">
        <f>COUNT('Order Data'!E3:E22)</f>
        <v>20</v>
      </c>
      <c r="D7" s="17" t="s">
        <v>161</v>
      </c>
    </row>
    <row r="8" spans="1:8" x14ac:dyDescent="0.3">
      <c r="A8" s="28" t="s">
        <v>162</v>
      </c>
      <c r="B8" s="31" t="s">
        <v>163</v>
      </c>
      <c r="C8" s="33">
        <f>COUNTIF('Order Data'!L3:L22,"Delivered")</f>
        <v>17</v>
      </c>
      <c r="D8" s="22" t="s">
        <v>164</v>
      </c>
    </row>
    <row r="9" spans="1:8" x14ac:dyDescent="0.3">
      <c r="A9" s="28" t="s">
        <v>165</v>
      </c>
      <c r="B9" s="29" t="s">
        <v>166</v>
      </c>
      <c r="C9" s="35">
        <f>AVERAGEIF('Order Data'!D3:D22,"Biryani",'Order Data'!H3:H22)</f>
        <v>4.7333333333333334</v>
      </c>
      <c r="D9" s="17" t="s">
        <v>167</v>
      </c>
    </row>
    <row r="10" spans="1:8" x14ac:dyDescent="0.3">
      <c r="A10" s="28" t="s">
        <v>168</v>
      </c>
      <c r="B10" s="31" t="s">
        <v>169</v>
      </c>
      <c r="C10" s="33" t="str">
        <f>IF(AVERAGE('Order Data'!F3:F22)&lt;=30,"Fast Delivery","Moderate Delivery")</f>
        <v>Moderate Delivery</v>
      </c>
      <c r="D10" s="22" t="s">
        <v>170</v>
      </c>
    </row>
    <row r="11" spans="1:8" x14ac:dyDescent="0.3">
      <c r="A11" s="28" t="s">
        <v>171</v>
      </c>
      <c r="B11" s="29" t="s">
        <v>172</v>
      </c>
      <c r="C11" s="34">
        <f>RANK('Order Data'!E3,'Order Data'!E3:E22,0)</f>
        <v>10</v>
      </c>
      <c r="D11" s="17" t="s">
        <v>173</v>
      </c>
    </row>
    <row r="12" spans="1:8" x14ac:dyDescent="0.3">
      <c r="A12" s="28" t="s">
        <v>174</v>
      </c>
      <c r="B12" s="31" t="s">
        <v>175</v>
      </c>
      <c r="C12" s="36">
        <f>SUMIF('Order Data'!D3:D22,"Fast Food",'Order Data'!E3:E22)</f>
        <v>990</v>
      </c>
      <c r="D12" s="22" t="s">
        <v>176</v>
      </c>
    </row>
    <row r="15" spans="1:8" x14ac:dyDescent="0.3">
      <c r="A15" s="13" t="s">
        <v>177</v>
      </c>
      <c r="B15" s="13"/>
      <c r="C15" s="13"/>
      <c r="D15" s="13"/>
    </row>
    <row r="16" spans="1:8" x14ac:dyDescent="0.3">
      <c r="A16" s="27" t="s">
        <v>10</v>
      </c>
      <c r="B16" s="27" t="s">
        <v>178</v>
      </c>
      <c r="C16" s="27" t="s">
        <v>179</v>
      </c>
      <c r="D16" s="27" t="s">
        <v>180</v>
      </c>
    </row>
    <row r="17" spans="1:4" x14ac:dyDescent="0.3">
      <c r="A17" s="17" t="s">
        <v>18</v>
      </c>
      <c r="B17" s="37">
        <f>COUNTIF('Order Data'!J3:J22,A17)</f>
        <v>4</v>
      </c>
      <c r="C17" s="38">
        <f>SUMIF('Order Data'!J3:J22,A17,'Order Data'!E3:E22)</f>
        <v>2180</v>
      </c>
      <c r="D17" s="39">
        <f>IFERROR(AVERAGEIF('Order Data'!J3:J22,A17,'Order Data'!H3:H22),"-")</f>
        <v>4.1749999999999998</v>
      </c>
    </row>
    <row r="18" spans="1:4" x14ac:dyDescent="0.3">
      <c r="A18" s="22" t="s">
        <v>26</v>
      </c>
      <c r="B18" s="40">
        <f>COUNTIF('Order Data'!J3:J22,A18)</f>
        <v>3</v>
      </c>
      <c r="C18" s="41">
        <f>SUMIF('Order Data'!J3:J22,A18,'Order Data'!E3:E22)</f>
        <v>1890</v>
      </c>
      <c r="D18" s="42">
        <f>IFERROR(AVERAGEIF('Order Data'!J3:J22,A18,'Order Data'!H3:H22),"-")</f>
        <v>3.8333333333333335</v>
      </c>
    </row>
    <row r="19" spans="1:4" x14ac:dyDescent="0.3">
      <c r="A19" s="17" t="s">
        <v>33</v>
      </c>
      <c r="B19" s="37">
        <f>COUNTIF('Order Data'!J3:J22,A19)</f>
        <v>2</v>
      </c>
      <c r="C19" s="38">
        <f>SUMIF('Order Data'!J3:J22,A19,'Order Data'!E3:E22)</f>
        <v>1400</v>
      </c>
      <c r="D19" s="39">
        <f>IFERROR(AVERAGEIF('Order Data'!J3:J22,A19,'Order Data'!H3:H22),"-")</f>
        <v>4.3</v>
      </c>
    </row>
    <row r="20" spans="1:4" x14ac:dyDescent="0.3">
      <c r="A20" s="22" t="s">
        <v>65</v>
      </c>
      <c r="B20" s="40">
        <f>COUNTIF('Order Data'!J3:J22,A20)</f>
        <v>2</v>
      </c>
      <c r="C20" s="41">
        <f>SUMIF('Order Data'!J3:J22,A20,'Order Data'!E3:E22)</f>
        <v>840</v>
      </c>
      <c r="D20" s="42">
        <f>IFERROR(AVERAGEIF('Order Data'!J3:J22,A20,'Order Data'!H3:H22),"-")</f>
        <v>4.1999999999999993</v>
      </c>
    </row>
    <row r="21" spans="1:4" x14ac:dyDescent="0.3">
      <c r="A21" s="17" t="s">
        <v>71</v>
      </c>
      <c r="B21" s="37">
        <f>COUNTIF('Order Data'!J3:J22,A21)</f>
        <v>1</v>
      </c>
      <c r="C21" s="38">
        <f>SUMIF('Order Data'!J3:J22,A21,'Order Data'!E3:E22)</f>
        <v>290</v>
      </c>
      <c r="D21" s="39">
        <f>IFERROR(AVERAGEIF('Order Data'!J3:J22,A21,'Order Data'!H3:H22),"-")</f>
        <v>4.7</v>
      </c>
    </row>
    <row r="22" spans="1:4" x14ac:dyDescent="0.3">
      <c r="A22" s="22" t="s">
        <v>39</v>
      </c>
      <c r="B22" s="40">
        <f>COUNTIF('Order Data'!J3:J22,A22)</f>
        <v>1</v>
      </c>
      <c r="C22" s="41">
        <f>SUMIF('Order Data'!J3:J22,A22,'Order Data'!E3:E22)</f>
        <v>540</v>
      </c>
      <c r="D22" s="42">
        <f>IFERROR(AVERAGEIF('Order Data'!J3:J22,A22,'Order Data'!H3:H22),"-")</f>
        <v>4.2</v>
      </c>
    </row>
    <row r="23" spans="1:4" x14ac:dyDescent="0.3">
      <c r="A23" s="17" t="s">
        <v>51</v>
      </c>
      <c r="B23" s="37">
        <f>COUNTIF('Order Data'!J3:J22,A23)</f>
        <v>1</v>
      </c>
      <c r="C23" s="38">
        <f>SUMIF('Order Data'!J3:J22,A23,'Order Data'!E3:E22)</f>
        <v>210</v>
      </c>
      <c r="D23" s="39">
        <f>IFERROR(AVERAGEIF('Order Data'!J3:J22,A23,'Order Data'!H3:H22),"-")</f>
        <v>4.8</v>
      </c>
    </row>
    <row r="24" spans="1:4" x14ac:dyDescent="0.3">
      <c r="A24" s="22" t="s">
        <v>96</v>
      </c>
      <c r="B24" s="40">
        <f>COUNTIF('Order Data'!J3:J22,A24)</f>
        <v>1</v>
      </c>
      <c r="C24" s="41">
        <f>SUMIF('Order Data'!J3:J22,A24,'Order Data'!E3:E22)</f>
        <v>750</v>
      </c>
      <c r="D24" s="42">
        <f>IFERROR(AVERAGEIF('Order Data'!J3:J22,A24,'Order Data'!H3:H22),"-")</f>
        <v>3.7</v>
      </c>
    </row>
  </sheetData>
  <mergeCells count="2">
    <mergeCell ref="A1:H1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Normal="100" workbookViewId="0"/>
  </sheetViews>
  <sheetFormatPr defaultColWidth="8.6640625" defaultRowHeight="14.4" x14ac:dyDescent="0.3"/>
  <cols>
    <col min="1" max="6" width="20" customWidth="1"/>
  </cols>
  <sheetData>
    <row r="1" spans="1:6" ht="31.5" customHeight="1" x14ac:dyDescent="0.3">
      <c r="A1" s="14" t="s">
        <v>181</v>
      </c>
      <c r="B1" s="14"/>
      <c r="C1" s="14"/>
      <c r="D1" s="14"/>
      <c r="E1" s="14"/>
      <c r="F1" s="14"/>
    </row>
    <row r="3" spans="1:6" ht="15" customHeight="1" x14ac:dyDescent="0.3">
      <c r="A3" s="12" t="s">
        <v>182</v>
      </c>
      <c r="B3" s="11">
        <f>COUNT('Order Data'!E3:E22)</f>
        <v>20</v>
      </c>
      <c r="C3" s="10" t="s">
        <v>183</v>
      </c>
      <c r="D3" s="9">
        <f>SUM('Order Data'!E3:E22)</f>
        <v>9610</v>
      </c>
      <c r="E3" s="8" t="s">
        <v>184</v>
      </c>
      <c r="F3" s="7">
        <f>AVERAGE('Order Data'!F3:F22)</f>
        <v>34.549999999999997</v>
      </c>
    </row>
    <row r="4" spans="1:6" x14ac:dyDescent="0.3">
      <c r="A4" s="12"/>
      <c r="B4" s="12"/>
      <c r="C4" s="12"/>
      <c r="D4" s="12"/>
      <c r="E4" s="12"/>
      <c r="F4" s="12"/>
    </row>
    <row r="5" spans="1:6" x14ac:dyDescent="0.3">
      <c r="A5" s="12"/>
      <c r="B5" s="12"/>
      <c r="C5" s="12"/>
      <c r="D5" s="12"/>
      <c r="E5" s="12"/>
      <c r="F5" s="12"/>
    </row>
    <row r="7" spans="1:6" ht="15" customHeight="1" x14ac:dyDescent="0.3">
      <c r="A7" s="6" t="s">
        <v>185</v>
      </c>
      <c r="B7" s="5">
        <f>AVERAGE('Order Data'!H3:H22)</f>
        <v>4.24</v>
      </c>
      <c r="C7" s="10" t="s">
        <v>186</v>
      </c>
      <c r="D7" s="4">
        <f>MIN('Order Data'!F3:F22)</f>
        <v>18</v>
      </c>
      <c r="E7" s="8" t="s">
        <v>187</v>
      </c>
      <c r="F7" s="3">
        <f>MAX('Order Data'!E3:E22)</f>
        <v>950</v>
      </c>
    </row>
    <row r="8" spans="1:6" x14ac:dyDescent="0.3">
      <c r="A8" s="6"/>
      <c r="B8" s="6"/>
      <c r="C8" s="6"/>
      <c r="D8" s="6"/>
      <c r="E8" s="6"/>
      <c r="F8" s="6"/>
    </row>
    <row r="9" spans="1:6" x14ac:dyDescent="0.3">
      <c r="A9" s="6"/>
      <c r="B9" s="6"/>
      <c r="C9" s="6"/>
      <c r="D9" s="6"/>
      <c r="E9" s="6"/>
      <c r="F9" s="6"/>
    </row>
    <row r="11" spans="1:6" ht="15" customHeight="1" x14ac:dyDescent="0.3">
      <c r="A11" s="10" t="s">
        <v>188</v>
      </c>
      <c r="B11" s="2">
        <f>COUNTIF('Order Data'!L3:L22,"Delivered")</f>
        <v>17</v>
      </c>
      <c r="C11" s="1" t="s">
        <v>189</v>
      </c>
      <c r="D11" s="43">
        <f>COUNTIF('Order Data'!L3:L22,"Cancelled")</f>
        <v>2</v>
      </c>
    </row>
    <row r="12" spans="1:6" x14ac:dyDescent="0.3">
      <c r="A12" s="10"/>
      <c r="B12" s="10"/>
      <c r="C12" s="10"/>
      <c r="D12" s="10"/>
    </row>
    <row r="13" spans="1:6" x14ac:dyDescent="0.3">
      <c r="A13" s="10"/>
      <c r="B13" s="10"/>
      <c r="C13" s="10"/>
      <c r="D13" s="10"/>
    </row>
  </sheetData>
  <mergeCells count="17">
    <mergeCell ref="F7:F9"/>
    <mergeCell ref="A11:A13"/>
    <mergeCell ref="B11:B13"/>
    <mergeCell ref="C11:C13"/>
    <mergeCell ref="D11:D13"/>
    <mergeCell ref="A7:A9"/>
    <mergeCell ref="B7:B9"/>
    <mergeCell ref="C7:C9"/>
    <mergeCell ref="D7:D9"/>
    <mergeCell ref="E7:E9"/>
    <mergeCell ref="A1:F1"/>
    <mergeCell ref="A3:A5"/>
    <mergeCell ref="B3:B5"/>
    <mergeCell ref="C3:C5"/>
    <mergeCell ref="D3:D5"/>
    <mergeCell ref="E3:E5"/>
    <mergeCell ref="F3:F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 Data</vt:lpstr>
      <vt:lpstr>Analysis &amp; Formulas</vt:lpstr>
      <vt:lpstr>Dashboard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JYOTI SINGH</cp:lastModifiedBy>
  <cp:revision>0</cp:revision>
  <dcterms:created xsi:type="dcterms:W3CDTF">2026-04-12T12:50:52Z</dcterms:created>
  <dcterms:modified xsi:type="dcterms:W3CDTF">2026-04-13T15:04:02Z</dcterms:modified>
  <dc:language>en-US</dc:language>
</cp:coreProperties>
</file>